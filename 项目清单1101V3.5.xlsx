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800" windowHeight="10460" activeTab="3"/>
  </bookViews>
  <sheets>
    <sheet name="Sheet1" sheetId="2" r:id="rId1"/>
    <sheet name="Sheet2" sheetId="3" r:id="rId2"/>
    <sheet name="Sheet2 (2)" sheetId="5" r:id="rId3"/>
    <sheet name="Sheet3" sheetId="6" r:id="rId4"/>
  </sheets>
  <definedNames>
    <definedName name="_xlnm._FilterDatabase" localSheetId="3" hidden="1">Sheet3!$K$1:$K$52</definedName>
  </definedNames>
  <calcPr calcId="144525"/>
</workbook>
</file>

<file path=xl/sharedStrings.xml><?xml version="1.0" encoding="utf-8"?>
<sst xmlns="http://schemas.openxmlformats.org/spreadsheetml/2006/main" count="383" uniqueCount="175">
  <si>
    <t>项目</t>
  </si>
  <si>
    <t>状态</t>
  </si>
  <si>
    <t>总价</t>
  </si>
  <si>
    <t>BOSS直聘湖南传媒职业分析与可视</t>
  </si>
  <si>
    <t>完成</t>
  </si>
  <si>
    <t>丁香园数据分析</t>
  </si>
  <si>
    <t>虎扑体育评分数据采集</t>
  </si>
  <si>
    <t>河北省区域经济区域大屏</t>
  </si>
  <si>
    <t>基于前端框架Vue的XSS攻击防御策略研究</t>
  </si>
  <si>
    <t xml:space="preserve">基于行为分析的网页木马检测技术研究  </t>
  </si>
  <si>
    <t>HIVE垃圾分类</t>
  </si>
  <si>
    <t>极端天气预警系统任务书加急费</t>
  </si>
  <si>
    <t>基于python编程的电子产品分析与购买推荐系统设计与实现</t>
  </si>
  <si>
    <t>总计</t>
  </si>
  <si>
    <r>
      <rPr>
        <b/>
        <sz val="11"/>
        <color theme="1"/>
        <rFont val="宋体"/>
        <charset val="134"/>
        <scheme val="minor"/>
      </rPr>
      <t>题目</t>
    </r>
  </si>
  <si>
    <t>价格</t>
  </si>
  <si>
    <t>预付款</t>
  </si>
  <si>
    <r>
      <rPr>
        <sz val="11"/>
        <color theme="1"/>
        <rFont val="宋体"/>
        <charset val="134"/>
        <scheme val="minor"/>
      </rPr>
      <t>BOSS直聘湖南传媒职业分析与可视化</t>
    </r>
  </si>
  <si>
    <t>已交付，已结尾款</t>
  </si>
  <si>
    <r>
      <rPr>
        <sz val="11"/>
        <color theme="1"/>
        <rFont val="宋体"/>
        <charset val="134"/>
        <scheme val="minor"/>
      </rPr>
      <t>丁香园医疗健康平台数据采集和分析</t>
    </r>
  </si>
  <si>
    <r>
      <rPr>
        <sz val="11"/>
        <color theme="1"/>
        <rFont val="宋体"/>
        <charset val="134"/>
        <scheme val="minor"/>
      </rPr>
      <t>虎扑体育评分数据采集、分析报告</t>
    </r>
  </si>
  <si>
    <t>已交付，待结尾款</t>
  </si>
  <si>
    <t>河北区域经济分析大屏</t>
  </si>
  <si>
    <r>
      <rPr>
        <sz val="11"/>
        <color theme="1"/>
        <rFont val="宋体"/>
        <charset val="134"/>
        <scheme val="minor"/>
      </rPr>
      <t>基于大数据的衢阳旅游分析平台设计与实现</t>
    </r>
  </si>
  <si>
    <r>
      <rPr>
        <sz val="11"/>
        <color theme="1"/>
        <rFont val="宋体"/>
        <charset val="134"/>
        <scheme val="minor"/>
      </rPr>
      <t>基于前端框架Vue的XSS攻击防御策略研究</t>
    </r>
  </si>
  <si>
    <r>
      <rPr>
        <sz val="11"/>
        <color theme="1"/>
        <rFont val="宋体"/>
        <charset val="134"/>
        <scheme val="minor"/>
      </rPr>
      <t>基于行为分析的网页木马检测技术研究</t>
    </r>
  </si>
  <si>
    <r>
      <rPr>
        <sz val="11"/>
        <color theme="1"/>
        <rFont val="宋体"/>
        <charset val="134"/>
        <scheme val="minor"/>
      </rPr>
      <t>基于Hive垃圾分类大数据可视化系统设计与实现</t>
    </r>
  </si>
  <si>
    <t>新能源车可视化</t>
  </si>
  <si>
    <t xml:space="preserve"> 文采珠江锂电池深度学习</t>
  </si>
  <si>
    <t>已交付，待结尾款（含论文和代码）</t>
  </si>
  <si>
    <t>魏富强基于MJPG-Streamer视频监控系统</t>
  </si>
  <si>
    <t>交付参考文献汇总</t>
  </si>
  <si>
    <t>张艳二次元周边网站设计</t>
  </si>
  <si>
    <t>交付论文初稿</t>
  </si>
  <si>
    <t>穆甜甜基于深度学习的情感分析算法设计与实现</t>
  </si>
  <si>
    <t>易金媛基于大模型的智能音乐推荐系统设计与实现</t>
  </si>
  <si>
    <t>基于Python的B站数据分析</t>
  </si>
  <si>
    <t>易祥-基于铁路线路的旅游资源可达性分析</t>
  </si>
  <si>
    <t>已交付代码</t>
  </si>
  <si>
    <t>计算机职业管理系统</t>
  </si>
  <si>
    <t>孙浩-儿童陪伴系统</t>
  </si>
  <si>
    <t>已交付代码初稿</t>
  </si>
  <si>
    <t>合计</t>
  </si>
  <si>
    <t>应收金额</t>
  </si>
  <si>
    <t xml:space="preserve">
基于区块链技术的商品购物系统的设计与实现
</t>
  </si>
  <si>
    <t>进行中</t>
  </si>
  <si>
    <t xml:space="preserve">基于区块链技术的《购物系统》的设计与实现
</t>
  </si>
  <si>
    <t>基于区块链的农副产品销售系统的设计与实现</t>
  </si>
  <si>
    <t>基于区块链的家具电器销售系统的设计与实现</t>
  </si>
  <si>
    <t>基于区块链的电脑销售商城</t>
  </si>
  <si>
    <t>基于神经网络的检测webshell技术研究</t>
  </si>
  <si>
    <t>京东箱包可视化分析</t>
  </si>
  <si>
    <t>论文类型</t>
  </si>
  <si>
    <t>客户姓名</t>
  </si>
  <si>
    <t>需求</t>
  </si>
  <si>
    <t>完成进度</t>
  </si>
  <si>
    <t>题目</t>
  </si>
  <si>
    <t>交付费用</t>
  </si>
  <si>
    <t>已支付</t>
  </si>
  <si>
    <t>未支付</t>
  </si>
  <si>
    <t>臣亮结</t>
  </si>
  <si>
    <t>来源</t>
  </si>
  <si>
    <t>本科</t>
  </si>
  <si>
    <t>刘燕娇</t>
  </si>
  <si>
    <t>只要程序</t>
  </si>
  <si>
    <t>已部署</t>
  </si>
  <si>
    <t>4.2号结清</t>
  </si>
  <si>
    <t>4.9 专科</t>
  </si>
  <si>
    <t>刘振华</t>
  </si>
  <si>
    <t>程序+初稿</t>
  </si>
  <si>
    <t>虎扑体育评分数据采集、分析报告</t>
  </si>
  <si>
    <t>4.10号结清</t>
  </si>
  <si>
    <t>胡李彬</t>
  </si>
  <si>
    <t>代码已写完</t>
  </si>
  <si>
    <t>基于大数据的交通流量预测系统研究</t>
  </si>
  <si>
    <t>张坤</t>
  </si>
  <si>
    <t>要程序+文档</t>
  </si>
  <si>
    <t>基于行为分析的网页木马检测技术研究</t>
  </si>
  <si>
    <t>4.2号给郑臣亮结清</t>
  </si>
  <si>
    <t>罗志豪</t>
  </si>
  <si>
    <t>肖常兴</t>
  </si>
  <si>
    <t>基于大数据的衡阳旅游分析平台设计与实现</t>
  </si>
  <si>
    <t>方鑫祥</t>
  </si>
  <si>
    <t>校园跑腿系统的设计与实现</t>
  </si>
  <si>
    <t>厉珈瑞</t>
  </si>
  <si>
    <t>基于springboot的学生公寓管理系统（要带算法）</t>
  </si>
  <si>
    <t>王百川</t>
  </si>
  <si>
    <t>基于IRF向量机的网络入侵检测系统（要带算法）</t>
  </si>
  <si>
    <t>张宇峰</t>
  </si>
  <si>
    <t>基于Hive垃圾分类大数据可视化系统设计与实现</t>
  </si>
  <si>
    <t>何通</t>
  </si>
  <si>
    <t>广州市区智能城市交通流量分析系统</t>
  </si>
  <si>
    <t>专科</t>
  </si>
  <si>
    <t>王巧</t>
  </si>
  <si>
    <t>BOSS直聘湖南传媒职业分析与可视化</t>
  </si>
  <si>
    <t>已给郑臣量</t>
  </si>
  <si>
    <t>方敏敏</t>
  </si>
  <si>
    <t>丁香园医疗健康平台数据采集和分析</t>
  </si>
  <si>
    <t>刘文泽</t>
  </si>
  <si>
    <t>大学生在线学习数据分析与可视化系统的设计与实现</t>
  </si>
  <si>
    <t>陈婉仪</t>
  </si>
  <si>
    <t>新能源汽车动力电池数据可视化分析系统的设计与实现</t>
  </si>
  <si>
    <t>吴立勋</t>
  </si>
  <si>
    <t>基于Hadoop的分布式网络爬虫系统的研究</t>
  </si>
  <si>
    <t>珠江</t>
  </si>
  <si>
    <t>程序+论文</t>
  </si>
  <si>
    <t>客户还没有给</t>
  </si>
  <si>
    <t>老肖</t>
  </si>
  <si>
    <t>魏富强</t>
  </si>
  <si>
    <t>基于MJPG-Streamer视频监控系统</t>
  </si>
  <si>
    <t>穆甜甜</t>
  </si>
  <si>
    <t>已交稿，已答辩</t>
  </si>
  <si>
    <t>基于深度学习的情感分析算法设计与实现</t>
  </si>
  <si>
    <t>易金媛</t>
  </si>
  <si>
    <t>基于大模型的智能音乐推荐系统设计与实现</t>
  </si>
  <si>
    <t>张艳</t>
  </si>
  <si>
    <t>已交稿</t>
  </si>
  <si>
    <t>二次元周边网站设计</t>
  </si>
  <si>
    <t>易祥</t>
  </si>
  <si>
    <t>程序</t>
  </si>
  <si>
    <t>基于铁路线路的旅游资源可达性分析</t>
  </si>
  <si>
    <t>孙浩</t>
  </si>
  <si>
    <t>儿童陪伴系统</t>
  </si>
  <si>
    <t>李佳慧</t>
  </si>
  <si>
    <t>中国极端气温统计与分析可视化系统</t>
  </si>
  <si>
    <t>李念</t>
  </si>
  <si>
    <t>河北省区域经济发展时空差异分析与展示系统</t>
  </si>
  <si>
    <t>伍波</t>
  </si>
  <si>
    <t>基于区块链的电脑销售系统的设计与实现</t>
  </si>
  <si>
    <t>知学术</t>
  </si>
  <si>
    <t>陈峰</t>
  </si>
  <si>
    <t>基于区块链技术的商品购物系统的设计与实现</t>
  </si>
  <si>
    <t>曾钰</t>
  </si>
  <si>
    <t>基于区块链技术的《购物系统》的设计与实现</t>
  </si>
  <si>
    <t>唐子林</t>
  </si>
  <si>
    <t>蒋振强</t>
  </si>
  <si>
    <t>贺琪</t>
  </si>
  <si>
    <t>基于大模型的智能纠错系统设计与实现</t>
  </si>
  <si>
    <t>孙永博</t>
  </si>
  <si>
    <t>基于神经网络的流量异常检测研究</t>
  </si>
  <si>
    <t>曹凯</t>
  </si>
  <si>
    <t>深度学习WebShell研究</t>
  </si>
  <si>
    <t>王洋</t>
  </si>
  <si>
    <t>课堂行为管理</t>
  </si>
  <si>
    <t>谢芳</t>
  </si>
  <si>
    <t>基于大模型的智能聊天机器人</t>
  </si>
  <si>
    <t>赵樟涵</t>
  </si>
  <si>
    <t>基于网络爬虫的网络新闻分析系统</t>
  </si>
  <si>
    <t>黎宇豪</t>
  </si>
  <si>
    <t>Python招聘数据分析系统</t>
  </si>
  <si>
    <t>王超群</t>
  </si>
  <si>
    <t>Python箱包数据分析系统</t>
  </si>
  <si>
    <t>若叶</t>
  </si>
  <si>
    <t>基于对比学习的网络恶意流量分类算法研究</t>
  </si>
  <si>
    <t>彭磊</t>
  </si>
  <si>
    <t>相亲网站</t>
  </si>
  <si>
    <t>杨晨</t>
  </si>
  <si>
    <t>起点中文网数据爬取及分析</t>
  </si>
  <si>
    <t>王湘黔</t>
  </si>
  <si>
    <t>基于Spark农业数据分析</t>
  </si>
  <si>
    <t>任建安</t>
  </si>
  <si>
    <t>已交中期报告</t>
  </si>
  <si>
    <t>基于智能合约的联邦学习动态访问控制方案</t>
  </si>
  <si>
    <t>Boss直聘数据分析</t>
  </si>
  <si>
    <t>比亚迪销售数据分析</t>
  </si>
  <si>
    <t>刘梦缘</t>
  </si>
  <si>
    <t>修改单</t>
  </si>
  <si>
    <t>“旋律”Python酷狗音乐分析</t>
  </si>
  <si>
    <t>李星云</t>
  </si>
  <si>
    <t>文档</t>
  </si>
  <si>
    <t>校园二手交易平台</t>
  </si>
  <si>
    <t>李艳婷</t>
  </si>
  <si>
    <t>“好工作”基于Python大数据岗位分析</t>
  </si>
  <si>
    <t>阳佳玲</t>
  </si>
  <si>
    <t>“优选”基于Python就业招聘信息推荐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</si>
</sst>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￥&quot;#,##0;[Red]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2"/>
      <name val="宋体"/>
      <charset val="134"/>
      <scheme val="major"/>
    </font>
    <font>
      <sz val="12"/>
      <name val="宋体"/>
      <charset val="134"/>
      <scheme val="major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28" applyNumberFormat="0" applyAlignment="0" applyProtection="0">
      <alignment vertical="center"/>
    </xf>
    <xf numFmtId="0" fontId="17" fillId="7" borderId="29" applyNumberFormat="0" applyAlignment="0" applyProtection="0">
      <alignment vertical="center"/>
    </xf>
    <xf numFmtId="0" fontId="18" fillId="7" borderId="28" applyNumberFormat="0" applyAlignment="0" applyProtection="0">
      <alignment vertical="center"/>
    </xf>
    <xf numFmtId="0" fontId="19" fillId="8" borderId="30" applyNumberFormat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1" fillId="0" borderId="3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5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 wrapText="1"/>
    </xf>
    <xf numFmtId="6" fontId="2" fillId="0" borderId="4" xfId="0" applyNumberFormat="1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6" fontId="2" fillId="0" borderId="6" xfId="0" applyNumberFormat="1" applyFont="1" applyFill="1" applyBorder="1" applyAlignment="1">
      <alignment horizontal="center" vertical="center" wrapText="1"/>
    </xf>
    <xf numFmtId="6" fontId="4" fillId="0" borderId="6" xfId="0" applyNumberFormat="1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1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7" xfId="0" applyFill="1" applyBorder="1" applyAlignment="1">
      <alignment horizontal="right" vertical="center"/>
    </xf>
    <xf numFmtId="0" fontId="0" fillId="4" borderId="18" xfId="0" applyFill="1" applyBorder="1" applyAlignment="1">
      <alignment horizontal="right" vertical="center"/>
    </xf>
    <xf numFmtId="0" fontId="0" fillId="0" borderId="6" xfId="0" applyFill="1" applyBorder="1" applyAlignment="1">
      <alignment horizontal="left" vertical="center"/>
    </xf>
    <xf numFmtId="0" fontId="7" fillId="0" borderId="19" xfId="0" applyFont="1" applyBorder="1" applyAlignment="1">
      <alignment horizontal="center" vertical="top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4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8" sqref="A8"/>
    </sheetView>
  </sheetViews>
  <sheetFormatPr defaultColWidth="9.23076923076923" defaultRowHeight="16.8" outlineLevelCol="2"/>
  <cols>
    <col min="1" max="1" width="63.3076923076923" customWidth="1"/>
    <col min="3" max="3" width="10.3076923076923"/>
  </cols>
  <sheetData>
    <row r="1" spans="1:3">
      <c r="A1" s="42" t="s">
        <v>0</v>
      </c>
      <c r="B1" s="43" t="s">
        <v>1</v>
      </c>
      <c r="C1" s="44" t="s">
        <v>2</v>
      </c>
    </row>
    <row r="2" spans="1:3">
      <c r="A2" s="45" t="s">
        <v>3</v>
      </c>
      <c r="B2" s="46" t="s">
        <v>4</v>
      </c>
      <c r="C2" s="47">
        <v>400</v>
      </c>
    </row>
    <row r="3" spans="1:3">
      <c r="A3" s="45" t="s">
        <v>5</v>
      </c>
      <c r="B3" s="46" t="s">
        <v>4</v>
      </c>
      <c r="C3" s="47">
        <v>400</v>
      </c>
    </row>
    <row r="4" spans="1:3">
      <c r="A4" s="45" t="s">
        <v>6</v>
      </c>
      <c r="B4" s="46" t="s">
        <v>4</v>
      </c>
      <c r="C4" s="47">
        <v>400</v>
      </c>
    </row>
    <row r="5" spans="1:3">
      <c r="A5" s="45" t="s">
        <v>7</v>
      </c>
      <c r="B5" s="46" t="s">
        <v>4</v>
      </c>
      <c r="C5" s="47">
        <v>500</v>
      </c>
    </row>
    <row r="6" spans="1:3">
      <c r="A6" s="45" t="s">
        <v>8</v>
      </c>
      <c r="B6" s="48" t="s">
        <v>4</v>
      </c>
      <c r="C6" s="49">
        <v>500</v>
      </c>
    </row>
    <row r="7" spans="1:3">
      <c r="A7" s="45" t="s">
        <v>9</v>
      </c>
      <c r="B7" s="48" t="s">
        <v>4</v>
      </c>
      <c r="C7" s="49">
        <v>500</v>
      </c>
    </row>
    <row r="8" spans="1:3">
      <c r="A8" s="45" t="s">
        <v>10</v>
      </c>
      <c r="B8" s="48" t="s">
        <v>4</v>
      </c>
      <c r="C8" s="49">
        <v>400</v>
      </c>
    </row>
    <row r="9" spans="1:3">
      <c r="A9" s="50" t="s">
        <v>11</v>
      </c>
      <c r="B9" s="48" t="s">
        <v>4</v>
      </c>
      <c r="C9" s="51">
        <v>100</v>
      </c>
    </row>
    <row r="10" spans="1:3">
      <c r="A10" s="50"/>
      <c r="B10" s="48"/>
      <c r="C10" s="51"/>
    </row>
    <row r="11" spans="1:3">
      <c r="A11" s="50" t="s">
        <v>12</v>
      </c>
      <c r="B11" s="48" t="s">
        <v>4</v>
      </c>
      <c r="C11" s="51">
        <v>1000</v>
      </c>
    </row>
    <row r="12" ht="17.55" spans="1:3">
      <c r="A12" s="52" t="s">
        <v>13</v>
      </c>
      <c r="B12" s="53"/>
      <c r="C12" s="54">
        <f>SUM(C2:C11)</f>
        <v>4200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zoomScale="90" zoomScaleNormal="90" workbookViewId="0">
      <selection activeCell="A10" sqref="A10"/>
    </sheetView>
  </sheetViews>
  <sheetFormatPr defaultColWidth="9.23076923076923" defaultRowHeight="16.8" outlineLevelCol="3"/>
  <cols>
    <col min="1" max="1" width="49.2019230769231" customWidth="1"/>
    <col min="2" max="4" width="43.75" customWidth="1"/>
  </cols>
  <sheetData>
    <row r="1" ht="17" spans="1:4">
      <c r="A1" s="30" t="s">
        <v>14</v>
      </c>
      <c r="B1" s="30" t="s">
        <v>1</v>
      </c>
      <c r="C1" s="30" t="s">
        <v>15</v>
      </c>
      <c r="D1" s="30" t="s">
        <v>16</v>
      </c>
    </row>
    <row r="2" ht="17" spans="1:4">
      <c r="A2" s="31" t="s">
        <v>17</v>
      </c>
      <c r="B2" s="32" t="s">
        <v>18</v>
      </c>
      <c r="C2" s="32">
        <v>0</v>
      </c>
      <c r="D2" s="32">
        <v>600</v>
      </c>
    </row>
    <row r="3" ht="17" spans="1:4">
      <c r="A3" s="31" t="s">
        <v>19</v>
      </c>
      <c r="B3" s="32" t="s">
        <v>18</v>
      </c>
      <c r="C3" s="32">
        <v>0</v>
      </c>
      <c r="D3" s="32"/>
    </row>
    <row r="4" ht="17" spans="1:4">
      <c r="A4" s="31" t="s">
        <v>20</v>
      </c>
      <c r="B4" s="32" t="s">
        <v>21</v>
      </c>
      <c r="C4" s="32">
        <v>500</v>
      </c>
      <c r="D4" s="32"/>
    </row>
    <row r="5" ht="17" spans="1:4">
      <c r="A5" s="41" t="s">
        <v>22</v>
      </c>
      <c r="B5" s="32" t="s">
        <v>21</v>
      </c>
      <c r="C5" s="32">
        <v>500</v>
      </c>
      <c r="D5" s="32"/>
    </row>
    <row r="6" ht="17" spans="1:4">
      <c r="A6" s="31" t="s">
        <v>23</v>
      </c>
      <c r="B6" s="32" t="s">
        <v>21</v>
      </c>
      <c r="C6" s="32">
        <v>400</v>
      </c>
      <c r="D6" s="32">
        <v>1000</v>
      </c>
    </row>
    <row r="7" ht="17" spans="1:4">
      <c r="A7" s="31" t="s">
        <v>24</v>
      </c>
      <c r="B7" s="32" t="s">
        <v>21</v>
      </c>
      <c r="C7" s="32">
        <v>600</v>
      </c>
      <c r="D7" s="32"/>
    </row>
    <row r="8" ht="17" spans="1:4">
      <c r="A8" s="31" t="s">
        <v>25</v>
      </c>
      <c r="B8" s="32" t="s">
        <v>21</v>
      </c>
      <c r="C8" s="32">
        <v>600</v>
      </c>
      <c r="D8" s="32"/>
    </row>
    <row r="9" ht="17" spans="1:4">
      <c r="A9" s="31" t="s">
        <v>26</v>
      </c>
      <c r="B9" s="32" t="s">
        <v>21</v>
      </c>
      <c r="C9" s="32">
        <v>400</v>
      </c>
      <c r="D9" s="32"/>
    </row>
    <row r="10" ht="34" spans="1:4">
      <c r="A10" s="31" t="s">
        <v>12</v>
      </c>
      <c r="B10" s="32" t="s">
        <v>21</v>
      </c>
      <c r="C10" s="32">
        <v>1000</v>
      </c>
      <c r="D10" s="32"/>
    </row>
    <row r="11" ht="17" spans="1:4">
      <c r="A11" s="31" t="s">
        <v>11</v>
      </c>
      <c r="B11" s="32" t="s">
        <v>18</v>
      </c>
      <c r="C11" s="32">
        <v>0</v>
      </c>
      <c r="D11" s="32">
        <v>0</v>
      </c>
    </row>
    <row r="12" ht="17" spans="1:4">
      <c r="A12" s="31" t="s">
        <v>27</v>
      </c>
      <c r="B12" s="32" t="s">
        <v>21</v>
      </c>
      <c r="C12" s="32">
        <v>400</v>
      </c>
      <c r="D12" s="32">
        <v>200</v>
      </c>
    </row>
    <row r="13" ht="17" spans="1:4">
      <c r="A13" s="31" t="s">
        <v>28</v>
      </c>
      <c r="B13" s="32" t="s">
        <v>29</v>
      </c>
      <c r="C13" s="32">
        <v>1000</v>
      </c>
      <c r="D13" s="32">
        <v>300</v>
      </c>
    </row>
    <row r="14" ht="17" spans="1:4">
      <c r="A14" s="31" t="s">
        <v>30</v>
      </c>
      <c r="B14" s="32" t="s">
        <v>31</v>
      </c>
      <c r="C14" s="32">
        <v>800</v>
      </c>
      <c r="D14" s="32">
        <v>300</v>
      </c>
    </row>
    <row r="15" ht="17" spans="1:4">
      <c r="A15" s="31" t="s">
        <v>32</v>
      </c>
      <c r="B15" s="32" t="s">
        <v>33</v>
      </c>
      <c r="C15" s="32">
        <v>600</v>
      </c>
      <c r="D15" s="32">
        <v>300</v>
      </c>
    </row>
    <row r="16" ht="17" spans="1:4">
      <c r="A16" s="31" t="s">
        <v>34</v>
      </c>
      <c r="B16" s="32" t="s">
        <v>33</v>
      </c>
      <c r="C16" s="32">
        <v>900</v>
      </c>
      <c r="D16" s="32">
        <v>300</v>
      </c>
    </row>
    <row r="17" ht="17" spans="1:4">
      <c r="A17" s="31" t="s">
        <v>35</v>
      </c>
      <c r="B17" s="32" t="s">
        <v>29</v>
      </c>
      <c r="C17" s="32">
        <v>900</v>
      </c>
      <c r="D17" s="32">
        <v>300</v>
      </c>
    </row>
    <row r="18" ht="17" spans="1:4">
      <c r="A18" s="31" t="s">
        <v>36</v>
      </c>
      <c r="B18" s="32" t="s">
        <v>21</v>
      </c>
      <c r="C18" s="32">
        <v>180</v>
      </c>
      <c r="D18" s="32">
        <v>0</v>
      </c>
    </row>
    <row r="19" ht="17" spans="1:4">
      <c r="A19" s="31" t="s">
        <v>37</v>
      </c>
      <c r="B19" s="32" t="s">
        <v>38</v>
      </c>
      <c r="C19" s="32">
        <v>480</v>
      </c>
      <c r="D19" s="32">
        <v>200</v>
      </c>
    </row>
    <row r="20" ht="17" spans="1:4">
      <c r="A20" s="31" t="s">
        <v>39</v>
      </c>
      <c r="B20" s="32" t="s">
        <v>38</v>
      </c>
      <c r="C20" s="32">
        <v>900</v>
      </c>
      <c r="D20" s="33">
        <v>200</v>
      </c>
    </row>
    <row r="21" ht="17.75" spans="1:4">
      <c r="A21" s="31" t="s">
        <v>40</v>
      </c>
      <c r="B21" s="32" t="s">
        <v>41</v>
      </c>
      <c r="C21" s="32">
        <v>1100</v>
      </c>
      <c r="D21" s="32">
        <v>300</v>
      </c>
    </row>
    <row r="22" ht="28" customHeight="1" spans="1:4">
      <c r="A22" s="34" t="s">
        <v>42</v>
      </c>
      <c r="B22" s="35"/>
      <c r="C22" s="36">
        <f>SUM(C2:C21)</f>
        <v>11260</v>
      </c>
      <c r="D22" s="36">
        <f>SUM(D2:D21)</f>
        <v>4000</v>
      </c>
    </row>
    <row r="23" ht="28" customHeight="1" spans="1:4">
      <c r="A23" s="37" t="s">
        <v>43</v>
      </c>
      <c r="B23" s="38"/>
      <c r="C23" s="39">
        <f>C22-D22-1000-500</f>
        <v>5760</v>
      </c>
      <c r="D23" s="40"/>
    </row>
  </sheetData>
  <mergeCells count="5">
    <mergeCell ref="A22:B22"/>
    <mergeCell ref="A23:B23"/>
    <mergeCell ref="C23:D23"/>
    <mergeCell ref="D2:D5"/>
    <mergeCell ref="D6:D1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zoomScale="90" zoomScaleNormal="90" workbookViewId="0">
      <selection activeCell="A4" sqref="A4"/>
    </sheetView>
  </sheetViews>
  <sheetFormatPr defaultColWidth="9.23076923076923" defaultRowHeight="16.8" outlineLevelCol="3"/>
  <cols>
    <col min="1" max="1" width="49.2019230769231" customWidth="1"/>
    <col min="2" max="4" width="43.75" customWidth="1"/>
  </cols>
  <sheetData>
    <row r="1" ht="17" spans="1:4">
      <c r="A1" s="30" t="s">
        <v>14</v>
      </c>
      <c r="B1" s="30" t="s">
        <v>1</v>
      </c>
      <c r="C1" s="30" t="s">
        <v>15</v>
      </c>
      <c r="D1" s="30" t="s">
        <v>16</v>
      </c>
    </row>
    <row r="2" ht="46" customHeight="1" spans="1:4">
      <c r="A2" s="31" t="s">
        <v>44</v>
      </c>
      <c r="B2" s="32" t="s">
        <v>45</v>
      </c>
      <c r="C2" s="32"/>
      <c r="D2" s="32"/>
    </row>
    <row r="3" ht="18" customHeight="1" spans="1:4">
      <c r="A3" s="31" t="s">
        <v>46</v>
      </c>
      <c r="B3" s="32" t="s">
        <v>45</v>
      </c>
      <c r="C3" s="32"/>
      <c r="D3" s="32"/>
    </row>
    <row r="4" ht="17" spans="1:4">
      <c r="A4" s="31" t="s">
        <v>47</v>
      </c>
      <c r="B4" s="32" t="s">
        <v>45</v>
      </c>
      <c r="C4" s="32"/>
      <c r="D4" s="32"/>
    </row>
    <row r="5" ht="17" spans="1:4">
      <c r="A5" s="31" t="s">
        <v>48</v>
      </c>
      <c r="B5" s="32" t="s">
        <v>45</v>
      </c>
      <c r="C5" s="32"/>
      <c r="D5" s="32"/>
    </row>
    <row r="6" ht="17" spans="1:4">
      <c r="A6" s="31" t="s">
        <v>49</v>
      </c>
      <c r="B6" s="32" t="s">
        <v>45</v>
      </c>
      <c r="C6" s="32"/>
      <c r="D6" s="32"/>
    </row>
    <row r="7" ht="17" spans="1:4">
      <c r="A7" s="31" t="s">
        <v>50</v>
      </c>
      <c r="B7" s="32" t="s">
        <v>45</v>
      </c>
      <c r="C7" s="32"/>
      <c r="D7" s="32"/>
    </row>
    <row r="8" ht="17" spans="1:4">
      <c r="A8" s="31" t="s">
        <v>51</v>
      </c>
      <c r="B8" s="32" t="s">
        <v>45</v>
      </c>
      <c r="C8" s="32"/>
      <c r="D8" s="32"/>
    </row>
    <row r="9" spans="1:4">
      <c r="A9" s="31"/>
      <c r="B9" s="32"/>
      <c r="C9" s="32"/>
      <c r="D9" s="32"/>
    </row>
    <row r="10" spans="1:4">
      <c r="A10" s="31"/>
      <c r="B10" s="32"/>
      <c r="C10" s="32"/>
      <c r="D10" s="32"/>
    </row>
    <row r="11" spans="1:4">
      <c r="A11" s="31"/>
      <c r="B11" s="32"/>
      <c r="C11" s="32"/>
      <c r="D11" s="32"/>
    </row>
    <row r="12" spans="1:4">
      <c r="A12" s="31"/>
      <c r="B12" s="32"/>
      <c r="C12" s="32"/>
      <c r="D12" s="32"/>
    </row>
    <row r="13" spans="1:4">
      <c r="A13" s="31"/>
      <c r="B13" s="32"/>
      <c r="C13" s="32"/>
      <c r="D13" s="32"/>
    </row>
    <row r="14" spans="1:4">
      <c r="A14" s="31"/>
      <c r="B14" s="32"/>
      <c r="C14" s="32"/>
      <c r="D14" s="32"/>
    </row>
    <row r="15" spans="1:4">
      <c r="A15" s="31"/>
      <c r="B15" s="32"/>
      <c r="C15" s="32"/>
      <c r="D15" s="32"/>
    </row>
    <row r="16" spans="1:4">
      <c r="A16" s="31"/>
      <c r="B16" s="32"/>
      <c r="C16" s="32"/>
      <c r="D16" s="32"/>
    </row>
    <row r="17" spans="1:4">
      <c r="A17" s="31"/>
      <c r="B17" s="32"/>
      <c r="C17" s="32"/>
      <c r="D17" s="32"/>
    </row>
    <row r="18" spans="1:4">
      <c r="A18" s="31"/>
      <c r="B18" s="32"/>
      <c r="C18" s="32"/>
      <c r="D18" s="32"/>
    </row>
    <row r="19" spans="1:4">
      <c r="A19" s="31"/>
      <c r="B19" s="32"/>
      <c r="C19" s="32"/>
      <c r="D19" s="32"/>
    </row>
    <row r="20" spans="1:4">
      <c r="A20" s="31"/>
      <c r="B20" s="32"/>
      <c r="C20" s="32"/>
      <c r="D20" s="33"/>
    </row>
    <row r="21" ht="17.55" spans="1:4">
      <c r="A21" s="31"/>
      <c r="B21" s="32"/>
      <c r="C21" s="32"/>
      <c r="D21" s="32"/>
    </row>
    <row r="22" ht="28" customHeight="1" spans="1:4">
      <c r="A22" s="34" t="s">
        <v>42</v>
      </c>
      <c r="B22" s="35"/>
      <c r="C22" s="36">
        <f>SUM(C2:C21)</f>
        <v>0</v>
      </c>
      <c r="D22" s="36">
        <f>SUM(D2:D21)</f>
        <v>0</v>
      </c>
    </row>
    <row r="23" ht="28" customHeight="1" spans="1:4">
      <c r="A23" s="37" t="s">
        <v>43</v>
      </c>
      <c r="B23" s="38"/>
      <c r="C23" s="39">
        <f>C22-D22-1000-500</f>
        <v>-1500</v>
      </c>
      <c r="D23" s="40"/>
    </row>
  </sheetData>
  <mergeCells count="5">
    <mergeCell ref="A22:B22"/>
    <mergeCell ref="A23:B23"/>
    <mergeCell ref="C23:D23"/>
    <mergeCell ref="D2:D5"/>
    <mergeCell ref="D6:D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tabSelected="1" zoomScale="90" zoomScaleNormal="90" workbookViewId="0">
      <selection activeCell="E3" sqref="E3"/>
    </sheetView>
  </sheetViews>
  <sheetFormatPr defaultColWidth="9.23076923076923" defaultRowHeight="16.8"/>
  <cols>
    <col min="1" max="1" width="11.5384615384615" customWidth="1"/>
    <col min="2" max="2" width="12.0096153846154" customWidth="1"/>
    <col min="3" max="3" width="15.5480769230769" customWidth="1"/>
    <col min="4" max="4" width="15.1538461538462" customWidth="1"/>
    <col min="5" max="5" width="49.0769230769231" customWidth="1"/>
    <col min="6" max="6" width="12.8076923076923" style="1" customWidth="1"/>
    <col min="7" max="7" width="8.84615384615385" style="1" customWidth="1"/>
    <col min="8" max="8" width="7.88461538461539" style="1" customWidth="1"/>
    <col min="9" max="9" width="8.15384615384615" customWidth="1"/>
  </cols>
  <sheetData>
    <row r="1" ht="18.75" spans="1:11">
      <c r="A1" s="2" t="s">
        <v>52</v>
      </c>
      <c r="B1" s="3" t="s">
        <v>53</v>
      </c>
      <c r="C1" s="3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  <c r="J1" s="24"/>
      <c r="K1" t="s">
        <v>61</v>
      </c>
    </row>
    <row r="2" ht="36" spans="1:10">
      <c r="A2" s="4" t="s">
        <v>62</v>
      </c>
      <c r="B2" s="5" t="s">
        <v>63</v>
      </c>
      <c r="C2" s="5" t="s">
        <v>64</v>
      </c>
      <c r="D2" s="5" t="s">
        <v>65</v>
      </c>
      <c r="E2" s="15" t="s">
        <v>12</v>
      </c>
      <c r="F2" s="16">
        <v>1000</v>
      </c>
      <c r="G2" s="16">
        <v>1000</v>
      </c>
      <c r="H2" s="16">
        <v>0</v>
      </c>
      <c r="I2" s="5" t="s">
        <v>66</v>
      </c>
      <c r="J2" s="25"/>
    </row>
    <row r="3" ht="18" spans="1:10">
      <c r="A3" s="6" t="s">
        <v>67</v>
      </c>
      <c r="B3" s="7" t="s">
        <v>68</v>
      </c>
      <c r="C3" s="7" t="s">
        <v>69</v>
      </c>
      <c r="D3" s="5" t="s">
        <v>65</v>
      </c>
      <c r="E3" s="17" t="s">
        <v>70</v>
      </c>
      <c r="F3" s="18">
        <v>400</v>
      </c>
      <c r="G3" s="18">
        <v>400</v>
      </c>
      <c r="H3" s="18">
        <v>0</v>
      </c>
      <c r="I3" s="7" t="s">
        <v>71</v>
      </c>
      <c r="J3" s="26"/>
    </row>
    <row r="4" ht="18" spans="1:10">
      <c r="A4" s="6" t="s">
        <v>62</v>
      </c>
      <c r="B4" s="7" t="s">
        <v>72</v>
      </c>
      <c r="C4" s="7" t="s">
        <v>64</v>
      </c>
      <c r="D4" s="7" t="s">
        <v>73</v>
      </c>
      <c r="E4" s="17" t="s">
        <v>74</v>
      </c>
      <c r="F4" s="18">
        <v>500</v>
      </c>
      <c r="G4" s="18">
        <v>200</v>
      </c>
      <c r="H4" s="18">
        <v>300</v>
      </c>
      <c r="I4" s="7"/>
      <c r="J4" s="26"/>
    </row>
    <row r="5" ht="18" spans="1:10">
      <c r="A5" s="6" t="s">
        <v>62</v>
      </c>
      <c r="B5" s="7" t="s">
        <v>75</v>
      </c>
      <c r="C5" s="7" t="s">
        <v>76</v>
      </c>
      <c r="D5" s="5" t="s">
        <v>65</v>
      </c>
      <c r="E5" s="17" t="s">
        <v>77</v>
      </c>
      <c r="F5" s="18">
        <v>500</v>
      </c>
      <c r="G5" s="18">
        <v>500</v>
      </c>
      <c r="H5" s="18">
        <v>0</v>
      </c>
      <c r="I5" s="7" t="s">
        <v>78</v>
      </c>
      <c r="J5" s="26"/>
    </row>
    <row r="6" ht="18" spans="1:10">
      <c r="A6" s="6" t="s">
        <v>62</v>
      </c>
      <c r="B6" s="7" t="s">
        <v>79</v>
      </c>
      <c r="C6" s="7" t="s">
        <v>76</v>
      </c>
      <c r="D6" s="5" t="s">
        <v>65</v>
      </c>
      <c r="E6" s="17" t="s">
        <v>8</v>
      </c>
      <c r="F6" s="18">
        <v>600</v>
      </c>
      <c r="G6" s="18">
        <v>600</v>
      </c>
      <c r="H6" s="18">
        <v>0</v>
      </c>
      <c r="I6" s="7" t="s">
        <v>78</v>
      </c>
      <c r="J6" s="26"/>
    </row>
    <row r="7" ht="18" spans="1:10">
      <c r="A7" s="6" t="s">
        <v>62</v>
      </c>
      <c r="B7" s="7" t="s">
        <v>80</v>
      </c>
      <c r="C7" s="7" t="s">
        <v>64</v>
      </c>
      <c r="D7" s="7" t="s">
        <v>73</v>
      </c>
      <c r="E7" s="17" t="s">
        <v>81</v>
      </c>
      <c r="F7" s="18">
        <v>400</v>
      </c>
      <c r="G7" s="18">
        <v>400</v>
      </c>
      <c r="H7" s="18">
        <f t="shared" ref="H7:H10" si="0">F7-G7</f>
        <v>0</v>
      </c>
      <c r="I7" s="7" t="s">
        <v>71</v>
      </c>
      <c r="J7" s="26"/>
    </row>
    <row r="8" ht="18" spans="1:10">
      <c r="A8" s="6" t="s">
        <v>62</v>
      </c>
      <c r="B8" s="7" t="s">
        <v>82</v>
      </c>
      <c r="C8" s="7" t="s">
        <v>64</v>
      </c>
      <c r="D8" s="5" t="s">
        <v>65</v>
      </c>
      <c r="E8" s="17" t="s">
        <v>83</v>
      </c>
      <c r="F8" s="18">
        <v>400</v>
      </c>
      <c r="G8" s="18">
        <v>200</v>
      </c>
      <c r="H8" s="18">
        <f t="shared" si="0"/>
        <v>200</v>
      </c>
      <c r="I8" s="7"/>
      <c r="J8" s="26"/>
    </row>
    <row r="9" ht="36" spans="1:10">
      <c r="A9" s="6" t="s">
        <v>62</v>
      </c>
      <c r="B9" s="7" t="s">
        <v>84</v>
      </c>
      <c r="C9" s="7" t="s">
        <v>64</v>
      </c>
      <c r="D9" s="7" t="s">
        <v>73</v>
      </c>
      <c r="E9" s="17" t="s">
        <v>85</v>
      </c>
      <c r="F9" s="18">
        <v>400</v>
      </c>
      <c r="G9" s="18">
        <v>200</v>
      </c>
      <c r="H9" s="18">
        <f t="shared" si="0"/>
        <v>200</v>
      </c>
      <c r="I9" s="7"/>
      <c r="J9" s="26"/>
    </row>
    <row r="10" ht="36" spans="1:10">
      <c r="A10" s="6" t="s">
        <v>62</v>
      </c>
      <c r="B10" s="7" t="s">
        <v>86</v>
      </c>
      <c r="C10" s="7" t="s">
        <v>76</v>
      </c>
      <c r="D10" s="5" t="s">
        <v>65</v>
      </c>
      <c r="E10" s="17" t="s">
        <v>87</v>
      </c>
      <c r="F10" s="18">
        <v>500</v>
      </c>
      <c r="G10" s="18">
        <v>200</v>
      </c>
      <c r="H10" s="18">
        <f t="shared" si="0"/>
        <v>300</v>
      </c>
      <c r="I10" s="7"/>
      <c r="J10" s="26"/>
    </row>
    <row r="11" ht="36" spans="1:10">
      <c r="A11" s="6" t="s">
        <v>62</v>
      </c>
      <c r="B11" s="7" t="s">
        <v>88</v>
      </c>
      <c r="C11" s="7" t="s">
        <v>64</v>
      </c>
      <c r="D11" s="5" t="s">
        <v>65</v>
      </c>
      <c r="E11" s="17" t="s">
        <v>89</v>
      </c>
      <c r="F11" s="18">
        <v>400</v>
      </c>
      <c r="G11" s="18">
        <v>400</v>
      </c>
      <c r="H11" s="18">
        <v>0</v>
      </c>
      <c r="I11" s="7" t="s">
        <v>78</v>
      </c>
      <c r="J11" s="26"/>
    </row>
    <row r="12" ht="18" spans="1:10">
      <c r="A12" s="6" t="s">
        <v>62</v>
      </c>
      <c r="B12" s="7" t="s">
        <v>90</v>
      </c>
      <c r="C12" s="7" t="s">
        <v>64</v>
      </c>
      <c r="D12" s="5" t="s">
        <v>65</v>
      </c>
      <c r="E12" s="17" t="s">
        <v>91</v>
      </c>
      <c r="F12" s="18">
        <v>500</v>
      </c>
      <c r="G12" s="18">
        <v>200</v>
      </c>
      <c r="H12" s="18">
        <f t="shared" ref="H12:H17" si="1">F12-G12</f>
        <v>300</v>
      </c>
      <c r="I12" s="7"/>
      <c r="J12" s="26"/>
    </row>
    <row r="13" ht="18" spans="1:10">
      <c r="A13" s="6" t="s">
        <v>92</v>
      </c>
      <c r="B13" s="7" t="s">
        <v>93</v>
      </c>
      <c r="C13" s="7" t="s">
        <v>76</v>
      </c>
      <c r="D13" s="5" t="s">
        <v>65</v>
      </c>
      <c r="E13" s="17" t="s">
        <v>94</v>
      </c>
      <c r="F13" s="18">
        <v>400</v>
      </c>
      <c r="G13" s="18">
        <v>400</v>
      </c>
      <c r="H13" s="18">
        <f t="shared" si="1"/>
        <v>0</v>
      </c>
      <c r="I13" s="7" t="s">
        <v>95</v>
      </c>
      <c r="J13" s="26"/>
    </row>
    <row r="14" ht="18" spans="1:10">
      <c r="A14" s="6" t="s">
        <v>92</v>
      </c>
      <c r="B14" s="7" t="s">
        <v>96</v>
      </c>
      <c r="C14" s="7" t="s">
        <v>76</v>
      </c>
      <c r="D14" s="7" t="s">
        <v>73</v>
      </c>
      <c r="E14" s="17" t="s">
        <v>97</v>
      </c>
      <c r="F14" s="18">
        <v>400</v>
      </c>
      <c r="G14" s="18">
        <v>400</v>
      </c>
      <c r="H14" s="18">
        <f t="shared" si="1"/>
        <v>0</v>
      </c>
      <c r="I14" s="7" t="s">
        <v>95</v>
      </c>
      <c r="J14" s="26"/>
    </row>
    <row r="15" ht="36" spans="1:10">
      <c r="A15" s="6" t="s">
        <v>92</v>
      </c>
      <c r="B15" s="7" t="s">
        <v>98</v>
      </c>
      <c r="C15" s="7" t="s">
        <v>76</v>
      </c>
      <c r="D15" s="5" t="s">
        <v>65</v>
      </c>
      <c r="E15" s="17" t="s">
        <v>99</v>
      </c>
      <c r="F15" s="18">
        <v>480</v>
      </c>
      <c r="G15" s="18">
        <v>200</v>
      </c>
      <c r="H15" s="18">
        <f t="shared" si="1"/>
        <v>280</v>
      </c>
      <c r="I15" s="7"/>
      <c r="J15" s="26"/>
    </row>
    <row r="16" ht="36" spans="1:10">
      <c r="A16" s="6" t="s">
        <v>62</v>
      </c>
      <c r="B16" s="7" t="s">
        <v>100</v>
      </c>
      <c r="C16" s="7" t="s">
        <v>64</v>
      </c>
      <c r="D16" s="7" t="s">
        <v>73</v>
      </c>
      <c r="E16" s="17" t="s">
        <v>101</v>
      </c>
      <c r="F16" s="18">
        <v>700</v>
      </c>
      <c r="G16" s="18">
        <v>200</v>
      </c>
      <c r="H16" s="18">
        <f t="shared" si="1"/>
        <v>500</v>
      </c>
      <c r="I16" s="7"/>
      <c r="J16" s="26"/>
    </row>
    <row r="17" ht="18" spans="1:10">
      <c r="A17" s="6" t="s">
        <v>62</v>
      </c>
      <c r="B17" s="7" t="s">
        <v>102</v>
      </c>
      <c r="C17" s="7" t="s">
        <v>64</v>
      </c>
      <c r="D17" s="5" t="s">
        <v>65</v>
      </c>
      <c r="E17" s="17" t="s">
        <v>103</v>
      </c>
      <c r="F17" s="18">
        <v>500</v>
      </c>
      <c r="G17" s="18">
        <v>200</v>
      </c>
      <c r="H17" s="18">
        <f t="shared" si="1"/>
        <v>300</v>
      </c>
      <c r="I17" s="7"/>
      <c r="J17" s="26"/>
    </row>
    <row r="18" ht="18" spans="1:11">
      <c r="A18" s="6" t="s">
        <v>62</v>
      </c>
      <c r="B18" s="7" t="s">
        <v>104</v>
      </c>
      <c r="C18" s="7" t="s">
        <v>105</v>
      </c>
      <c r="D18" s="5" t="s">
        <v>65</v>
      </c>
      <c r="E18" s="17" t="s">
        <v>28</v>
      </c>
      <c r="F18" s="7">
        <v>1000</v>
      </c>
      <c r="G18" s="7">
        <v>300</v>
      </c>
      <c r="H18" s="7">
        <v>700</v>
      </c>
      <c r="I18" s="7" t="s">
        <v>106</v>
      </c>
      <c r="J18" s="26"/>
      <c r="K18" s="27" t="s">
        <v>107</v>
      </c>
    </row>
    <row r="19" ht="18" spans="1:11">
      <c r="A19" s="6" t="s">
        <v>62</v>
      </c>
      <c r="B19" s="7" t="s">
        <v>108</v>
      </c>
      <c r="C19" s="7" t="s">
        <v>105</v>
      </c>
      <c r="D19" s="5" t="s">
        <v>65</v>
      </c>
      <c r="E19" s="17" t="s">
        <v>109</v>
      </c>
      <c r="F19" s="7">
        <v>800</v>
      </c>
      <c r="G19" s="7">
        <v>300</v>
      </c>
      <c r="H19" s="7">
        <v>500</v>
      </c>
      <c r="I19" s="7" t="s">
        <v>106</v>
      </c>
      <c r="J19" s="26"/>
      <c r="K19" s="27" t="s">
        <v>107</v>
      </c>
    </row>
    <row r="20" ht="36" spans="1:11">
      <c r="A20" s="6" t="s">
        <v>62</v>
      </c>
      <c r="B20" s="7" t="s">
        <v>110</v>
      </c>
      <c r="C20" s="7" t="s">
        <v>105</v>
      </c>
      <c r="D20" s="7" t="s">
        <v>111</v>
      </c>
      <c r="E20" s="17" t="s">
        <v>112</v>
      </c>
      <c r="F20" s="7">
        <v>900</v>
      </c>
      <c r="G20" s="7">
        <v>300</v>
      </c>
      <c r="H20" s="7">
        <v>600</v>
      </c>
      <c r="I20" s="7" t="s">
        <v>106</v>
      </c>
      <c r="J20" s="26"/>
      <c r="K20" s="27" t="s">
        <v>107</v>
      </c>
    </row>
    <row r="21" ht="18" spans="1:11">
      <c r="A21" s="6" t="s">
        <v>62</v>
      </c>
      <c r="B21" s="7" t="s">
        <v>113</v>
      </c>
      <c r="C21" s="7" t="s">
        <v>105</v>
      </c>
      <c r="D21" s="5" t="s">
        <v>65</v>
      </c>
      <c r="E21" s="17" t="s">
        <v>114</v>
      </c>
      <c r="F21" s="7">
        <v>900</v>
      </c>
      <c r="G21" s="7">
        <v>300</v>
      </c>
      <c r="H21" s="7">
        <v>600</v>
      </c>
      <c r="I21" s="7" t="s">
        <v>106</v>
      </c>
      <c r="J21" s="26"/>
      <c r="K21" s="27" t="s">
        <v>107</v>
      </c>
    </row>
    <row r="22" ht="18" spans="1:10">
      <c r="A22" s="6" t="s">
        <v>62</v>
      </c>
      <c r="B22" s="7" t="s">
        <v>115</v>
      </c>
      <c r="C22" s="7" t="s">
        <v>105</v>
      </c>
      <c r="D22" s="7" t="s">
        <v>116</v>
      </c>
      <c r="E22" s="17" t="s">
        <v>117</v>
      </c>
      <c r="F22" s="7">
        <v>600</v>
      </c>
      <c r="G22" s="7">
        <v>600</v>
      </c>
      <c r="H22" s="7">
        <v>0</v>
      </c>
      <c r="I22" s="7" t="s">
        <v>106</v>
      </c>
      <c r="J22" s="26"/>
    </row>
    <row r="23" ht="18" spans="1:10">
      <c r="A23" s="6" t="s">
        <v>62</v>
      </c>
      <c r="B23" s="7" t="s">
        <v>118</v>
      </c>
      <c r="C23" s="7" t="s">
        <v>119</v>
      </c>
      <c r="D23" s="5" t="s">
        <v>65</v>
      </c>
      <c r="E23" s="17" t="s">
        <v>120</v>
      </c>
      <c r="F23" s="7">
        <v>480</v>
      </c>
      <c r="G23" s="7">
        <v>480</v>
      </c>
      <c r="H23" s="7">
        <v>0</v>
      </c>
      <c r="I23" s="7" t="s">
        <v>71</v>
      </c>
      <c r="J23" s="26"/>
    </row>
    <row r="24" ht="18" spans="1:11">
      <c r="A24" s="6" t="s">
        <v>62</v>
      </c>
      <c r="B24" s="7" t="s">
        <v>121</v>
      </c>
      <c r="C24" s="7" t="s">
        <v>105</v>
      </c>
      <c r="D24" s="5" t="s">
        <v>65</v>
      </c>
      <c r="E24" s="17" t="s">
        <v>122</v>
      </c>
      <c r="F24" s="7">
        <v>1100</v>
      </c>
      <c r="G24" s="7">
        <v>200</v>
      </c>
      <c r="H24" s="7">
        <v>900</v>
      </c>
      <c r="I24" s="7" t="s">
        <v>106</v>
      </c>
      <c r="J24" s="26"/>
      <c r="K24" s="27" t="s">
        <v>107</v>
      </c>
    </row>
    <row r="25" ht="18" spans="1:10">
      <c r="A25" s="6" t="s">
        <v>62</v>
      </c>
      <c r="B25" s="7" t="s">
        <v>123</v>
      </c>
      <c r="C25" s="7" t="s">
        <v>105</v>
      </c>
      <c r="D25" s="5" t="s">
        <v>65</v>
      </c>
      <c r="E25" s="17" t="s">
        <v>124</v>
      </c>
      <c r="F25" s="7">
        <v>1100</v>
      </c>
      <c r="G25" s="7">
        <v>300</v>
      </c>
      <c r="H25" s="7">
        <v>800</v>
      </c>
      <c r="I25" s="7" t="s">
        <v>106</v>
      </c>
      <c r="J25" s="26"/>
    </row>
    <row r="26" ht="18" spans="1:11">
      <c r="A26" s="6" t="s">
        <v>62</v>
      </c>
      <c r="B26" s="7" t="s">
        <v>125</v>
      </c>
      <c r="C26" s="7" t="s">
        <v>119</v>
      </c>
      <c r="D26" s="5" t="s">
        <v>65</v>
      </c>
      <c r="E26" s="17" t="s">
        <v>126</v>
      </c>
      <c r="F26" s="7">
        <v>500</v>
      </c>
      <c r="G26" s="7">
        <v>300</v>
      </c>
      <c r="H26" s="7">
        <v>200</v>
      </c>
      <c r="I26" s="7" t="s">
        <v>106</v>
      </c>
      <c r="J26" s="26"/>
      <c r="K26" s="27" t="s">
        <v>107</v>
      </c>
    </row>
    <row r="27" ht="18" spans="1:10">
      <c r="A27" s="8" t="s">
        <v>92</v>
      </c>
      <c r="B27" s="9" t="s">
        <v>127</v>
      </c>
      <c r="C27" s="10" t="s">
        <v>76</v>
      </c>
      <c r="D27" s="5" t="s">
        <v>65</v>
      </c>
      <c r="E27" s="19" t="s">
        <v>128</v>
      </c>
      <c r="F27" s="10"/>
      <c r="G27" s="9"/>
      <c r="H27" s="9"/>
      <c r="I27" s="7" t="s">
        <v>129</v>
      </c>
      <c r="J27" s="26"/>
    </row>
    <row r="28" ht="18" spans="1:10">
      <c r="A28" s="8" t="s">
        <v>92</v>
      </c>
      <c r="B28" s="9" t="s">
        <v>130</v>
      </c>
      <c r="C28" s="10" t="s">
        <v>76</v>
      </c>
      <c r="D28" s="5" t="s">
        <v>65</v>
      </c>
      <c r="E28" s="20" t="s">
        <v>131</v>
      </c>
      <c r="F28" s="10"/>
      <c r="G28" s="9"/>
      <c r="H28" s="9"/>
      <c r="I28" s="7" t="s">
        <v>129</v>
      </c>
      <c r="J28" s="26"/>
    </row>
    <row r="29" ht="18" spans="1:10">
      <c r="A29" s="8" t="s">
        <v>92</v>
      </c>
      <c r="B29" s="9" t="s">
        <v>132</v>
      </c>
      <c r="C29" s="10" t="s">
        <v>76</v>
      </c>
      <c r="D29" s="5" t="s">
        <v>65</v>
      </c>
      <c r="E29" s="20" t="s">
        <v>133</v>
      </c>
      <c r="F29" s="10"/>
      <c r="G29" s="9"/>
      <c r="H29" s="9"/>
      <c r="I29" s="7" t="s">
        <v>129</v>
      </c>
      <c r="J29" s="26"/>
    </row>
    <row r="30" ht="18" spans="1:10">
      <c r="A30" s="8" t="s">
        <v>92</v>
      </c>
      <c r="B30" s="9" t="s">
        <v>134</v>
      </c>
      <c r="C30" s="10" t="s">
        <v>76</v>
      </c>
      <c r="D30" s="5" t="s">
        <v>65</v>
      </c>
      <c r="E30" s="20" t="s">
        <v>47</v>
      </c>
      <c r="F30" s="10"/>
      <c r="G30" s="9"/>
      <c r="H30" s="9"/>
      <c r="I30" s="7" t="s">
        <v>129</v>
      </c>
      <c r="J30" s="26"/>
    </row>
    <row r="31" ht="18" spans="1:10">
      <c r="A31" s="8" t="s">
        <v>92</v>
      </c>
      <c r="B31" s="9" t="s">
        <v>135</v>
      </c>
      <c r="C31" s="10" t="s">
        <v>76</v>
      </c>
      <c r="D31" s="5" t="s">
        <v>65</v>
      </c>
      <c r="E31" s="20" t="s">
        <v>48</v>
      </c>
      <c r="F31" s="10"/>
      <c r="G31" s="9"/>
      <c r="H31" s="9"/>
      <c r="I31" s="7" t="s">
        <v>129</v>
      </c>
      <c r="J31" s="26"/>
    </row>
    <row r="32" ht="18" spans="1:10">
      <c r="A32" s="8" t="s">
        <v>62</v>
      </c>
      <c r="B32" s="11" t="s">
        <v>136</v>
      </c>
      <c r="C32" s="9" t="s">
        <v>64</v>
      </c>
      <c r="D32" s="5" t="s">
        <v>65</v>
      </c>
      <c r="E32" s="20" t="s">
        <v>137</v>
      </c>
      <c r="F32" s="10"/>
      <c r="G32" s="9"/>
      <c r="H32" s="9"/>
      <c r="I32" s="7" t="s">
        <v>129</v>
      </c>
      <c r="J32" s="26"/>
    </row>
    <row r="33" ht="18" spans="1:10">
      <c r="A33" s="8" t="s">
        <v>62</v>
      </c>
      <c r="B33" s="9" t="s">
        <v>138</v>
      </c>
      <c r="C33" s="9" t="s">
        <v>64</v>
      </c>
      <c r="D33" s="5" t="s">
        <v>65</v>
      </c>
      <c r="E33" s="21" t="s">
        <v>139</v>
      </c>
      <c r="F33" s="10"/>
      <c r="G33" s="9"/>
      <c r="H33" s="9"/>
      <c r="I33" s="7" t="s">
        <v>129</v>
      </c>
      <c r="J33" s="26"/>
    </row>
    <row r="34" ht="18" spans="1:10">
      <c r="A34" s="8" t="s">
        <v>62</v>
      </c>
      <c r="B34" s="9" t="s">
        <v>140</v>
      </c>
      <c r="C34" s="10" t="s">
        <v>76</v>
      </c>
      <c r="D34" s="5" t="s">
        <v>65</v>
      </c>
      <c r="E34" s="20" t="s">
        <v>141</v>
      </c>
      <c r="F34" s="9"/>
      <c r="G34" s="9"/>
      <c r="H34" s="9"/>
      <c r="I34" s="7" t="s">
        <v>129</v>
      </c>
      <c r="J34" s="26"/>
    </row>
    <row r="35" ht="18" spans="1:11">
      <c r="A35" s="8" t="s">
        <v>62</v>
      </c>
      <c r="B35" s="9" t="s">
        <v>142</v>
      </c>
      <c r="C35" s="10" t="s">
        <v>76</v>
      </c>
      <c r="D35" s="7" t="s">
        <v>116</v>
      </c>
      <c r="E35" s="20" t="s">
        <v>143</v>
      </c>
      <c r="F35" s="9"/>
      <c r="G35" s="9"/>
      <c r="H35" s="9"/>
      <c r="I35" s="7"/>
      <c r="J35" s="26"/>
      <c r="K35" s="27" t="s">
        <v>107</v>
      </c>
    </row>
    <row r="36" ht="18" spans="1:11">
      <c r="A36" s="8" t="s">
        <v>62</v>
      </c>
      <c r="B36" s="9" t="s">
        <v>144</v>
      </c>
      <c r="C36" s="10" t="s">
        <v>76</v>
      </c>
      <c r="D36" s="7" t="s">
        <v>116</v>
      </c>
      <c r="E36" s="20" t="s">
        <v>145</v>
      </c>
      <c r="F36" s="9">
        <v>900</v>
      </c>
      <c r="G36" s="9">
        <v>0</v>
      </c>
      <c r="H36" s="9">
        <f>F36-G36</f>
        <v>900</v>
      </c>
      <c r="I36" s="7" t="s">
        <v>129</v>
      </c>
      <c r="J36" s="26"/>
      <c r="K36" s="27" t="s">
        <v>107</v>
      </c>
    </row>
    <row r="37" ht="18" spans="1:10">
      <c r="A37" s="8" t="s">
        <v>62</v>
      </c>
      <c r="B37" s="9" t="s">
        <v>146</v>
      </c>
      <c r="C37" s="10" t="s">
        <v>119</v>
      </c>
      <c r="D37" s="5" t="s">
        <v>65</v>
      </c>
      <c r="E37" s="20" t="s">
        <v>147</v>
      </c>
      <c r="F37" s="9"/>
      <c r="G37" s="9"/>
      <c r="H37" s="9"/>
      <c r="I37" s="7" t="s">
        <v>129</v>
      </c>
      <c r="J37" s="26"/>
    </row>
    <row r="38" ht="18" spans="1:10">
      <c r="A38" s="8" t="s">
        <v>62</v>
      </c>
      <c r="B38" s="9" t="s">
        <v>148</v>
      </c>
      <c r="C38" s="9" t="s">
        <v>119</v>
      </c>
      <c r="D38" s="7" t="s">
        <v>73</v>
      </c>
      <c r="E38" s="20" t="s">
        <v>149</v>
      </c>
      <c r="F38" s="9"/>
      <c r="G38" s="9"/>
      <c r="H38" s="9"/>
      <c r="I38" s="7" t="s">
        <v>129</v>
      </c>
      <c r="J38" s="26"/>
    </row>
    <row r="39" ht="18" spans="1:10">
      <c r="A39" s="8" t="s">
        <v>62</v>
      </c>
      <c r="B39" s="9" t="s">
        <v>150</v>
      </c>
      <c r="C39" s="9" t="s">
        <v>119</v>
      </c>
      <c r="D39" s="5" t="s">
        <v>65</v>
      </c>
      <c r="E39" s="20" t="s">
        <v>151</v>
      </c>
      <c r="F39" s="9"/>
      <c r="G39" s="9"/>
      <c r="H39" s="9"/>
      <c r="I39" s="7" t="s">
        <v>129</v>
      </c>
      <c r="J39" s="26"/>
    </row>
    <row r="40" ht="18" spans="1:10">
      <c r="A40" s="8" t="s">
        <v>62</v>
      </c>
      <c r="B40" s="9" t="s">
        <v>152</v>
      </c>
      <c r="C40" s="9" t="s">
        <v>119</v>
      </c>
      <c r="D40" s="7" t="s">
        <v>73</v>
      </c>
      <c r="E40" s="20" t="s">
        <v>153</v>
      </c>
      <c r="F40" s="9">
        <v>1500</v>
      </c>
      <c r="G40" s="9">
        <v>200</v>
      </c>
      <c r="H40" s="9">
        <f t="shared" ref="H40:H44" si="2">F40-G40</f>
        <v>1300</v>
      </c>
      <c r="I40" s="7" t="s">
        <v>129</v>
      </c>
      <c r="J40" s="26"/>
    </row>
    <row r="41" ht="18" spans="1:11">
      <c r="A41" s="8" t="s">
        <v>62</v>
      </c>
      <c r="B41" s="9" t="s">
        <v>154</v>
      </c>
      <c r="C41" s="10" t="s">
        <v>76</v>
      </c>
      <c r="D41" s="5" t="s">
        <v>65</v>
      </c>
      <c r="E41" s="20" t="s">
        <v>155</v>
      </c>
      <c r="F41" s="9">
        <v>1000</v>
      </c>
      <c r="G41" s="9">
        <v>300</v>
      </c>
      <c r="H41" s="9">
        <f t="shared" si="2"/>
        <v>700</v>
      </c>
      <c r="I41" s="7"/>
      <c r="J41" s="26"/>
      <c r="K41" s="27" t="s">
        <v>107</v>
      </c>
    </row>
    <row r="42" ht="18" spans="1:10">
      <c r="A42" s="8" t="s">
        <v>62</v>
      </c>
      <c r="B42" s="9" t="s">
        <v>156</v>
      </c>
      <c r="C42" s="9" t="s">
        <v>119</v>
      </c>
      <c r="D42" s="5" t="s">
        <v>65</v>
      </c>
      <c r="E42" s="20" t="s">
        <v>157</v>
      </c>
      <c r="F42" s="9"/>
      <c r="G42" s="9"/>
      <c r="H42" s="9"/>
      <c r="I42" s="7" t="s">
        <v>129</v>
      </c>
      <c r="J42" s="26"/>
    </row>
    <row r="43" ht="18" spans="1:10">
      <c r="A43" s="8" t="s">
        <v>62</v>
      </c>
      <c r="B43" s="9" t="s">
        <v>158</v>
      </c>
      <c r="C43" s="9" t="s">
        <v>119</v>
      </c>
      <c r="D43" s="5" t="s">
        <v>65</v>
      </c>
      <c r="E43" s="20" t="s">
        <v>159</v>
      </c>
      <c r="F43" s="9"/>
      <c r="G43" s="9"/>
      <c r="H43" s="9"/>
      <c r="I43" s="7" t="s">
        <v>129</v>
      </c>
      <c r="J43" s="26"/>
    </row>
    <row r="44" ht="17.6" spans="1:10">
      <c r="A44" s="8" t="s">
        <v>92</v>
      </c>
      <c r="B44" s="9" t="s">
        <v>160</v>
      </c>
      <c r="C44" s="10" t="s">
        <v>76</v>
      </c>
      <c r="D44" s="9" t="s">
        <v>161</v>
      </c>
      <c r="E44" s="20" t="s">
        <v>162</v>
      </c>
      <c r="F44" s="9">
        <v>900</v>
      </c>
      <c r="G44" s="9">
        <v>300</v>
      </c>
      <c r="H44" s="9">
        <f t="shared" si="2"/>
        <v>600</v>
      </c>
      <c r="I44" s="7"/>
      <c r="J44" s="26"/>
    </row>
    <row r="45" ht="18" spans="1:10">
      <c r="A45" s="8" t="s">
        <v>62</v>
      </c>
      <c r="B45" s="12"/>
      <c r="C45" s="10" t="s">
        <v>76</v>
      </c>
      <c r="D45" s="5" t="s">
        <v>65</v>
      </c>
      <c r="E45" s="20" t="s">
        <v>163</v>
      </c>
      <c r="F45" s="9"/>
      <c r="G45" s="9"/>
      <c r="H45" s="9"/>
      <c r="I45" s="7"/>
      <c r="J45" s="26"/>
    </row>
    <row r="46" ht="18" spans="1:10">
      <c r="A46" s="8" t="s">
        <v>62</v>
      </c>
      <c r="B46" s="12"/>
      <c r="C46" s="10" t="s">
        <v>76</v>
      </c>
      <c r="D46" s="7" t="s">
        <v>116</v>
      </c>
      <c r="E46" s="20" t="s">
        <v>164</v>
      </c>
      <c r="F46" s="9">
        <v>1200</v>
      </c>
      <c r="G46" s="9">
        <v>400</v>
      </c>
      <c r="H46" s="9">
        <f>F46-G46</f>
        <v>800</v>
      </c>
      <c r="I46" s="7"/>
      <c r="J46" s="26"/>
    </row>
    <row r="47" ht="18" spans="1:10">
      <c r="A47" s="8" t="s">
        <v>92</v>
      </c>
      <c r="B47" s="9" t="s">
        <v>165</v>
      </c>
      <c r="C47" s="9" t="s">
        <v>166</v>
      </c>
      <c r="D47" s="7" t="s">
        <v>116</v>
      </c>
      <c r="E47" s="20" t="s">
        <v>167</v>
      </c>
      <c r="F47" s="9"/>
      <c r="G47" s="9"/>
      <c r="H47" s="9"/>
      <c r="I47" s="7"/>
      <c r="J47" s="26"/>
    </row>
    <row r="48" ht="18" spans="1:10">
      <c r="A48" s="8" t="s">
        <v>62</v>
      </c>
      <c r="B48" s="9" t="s">
        <v>168</v>
      </c>
      <c r="C48" s="9" t="s">
        <v>169</v>
      </c>
      <c r="D48" s="7" t="s">
        <v>116</v>
      </c>
      <c r="E48" s="20" t="s">
        <v>170</v>
      </c>
      <c r="F48" s="9"/>
      <c r="G48" s="9"/>
      <c r="H48" s="9"/>
      <c r="I48" s="7"/>
      <c r="J48" s="26"/>
    </row>
    <row r="49" ht="18" spans="1:10">
      <c r="A49" s="8" t="s">
        <v>92</v>
      </c>
      <c r="B49" s="9" t="s">
        <v>171</v>
      </c>
      <c r="C49" s="9" t="s">
        <v>166</v>
      </c>
      <c r="D49" s="7" t="s">
        <v>116</v>
      </c>
      <c r="E49" s="20" t="s">
        <v>172</v>
      </c>
      <c r="F49" s="9"/>
      <c r="G49" s="9"/>
      <c r="H49" s="9"/>
      <c r="I49" s="7"/>
      <c r="J49" s="26"/>
    </row>
    <row r="50" ht="17.55" spans="1:10">
      <c r="A50" s="13" t="s">
        <v>92</v>
      </c>
      <c r="B50" s="14" t="s">
        <v>173</v>
      </c>
      <c r="C50" s="14" t="s">
        <v>166</v>
      </c>
      <c r="D50" s="14" t="s">
        <v>116</v>
      </c>
      <c r="E50" s="22" t="s">
        <v>174</v>
      </c>
      <c r="F50" s="14"/>
      <c r="G50" s="14"/>
      <c r="H50" s="14"/>
      <c r="I50" s="28"/>
      <c r="J50" s="29"/>
    </row>
    <row r="52" spans="5:8">
      <c r="E52" t="s">
        <v>42</v>
      </c>
      <c r="F52" s="1">
        <f>SUM(F2:F50)</f>
        <v>20960</v>
      </c>
      <c r="G52" s="1">
        <f>SUM(G2:G50)</f>
        <v>9980</v>
      </c>
      <c r="H52" s="1">
        <f>SUM(H2:H50)</f>
        <v>10980</v>
      </c>
    </row>
    <row r="55" spans="8:8">
      <c r="H55" s="23">
        <f>SUM(H18:H41)</f>
        <v>7200</v>
      </c>
    </row>
  </sheetData>
  <autoFilter ref="K1:K52">
    <extLst/>
  </autoFilter>
  <mergeCells count="50">
    <mergeCell ref="I1:J1"/>
    <mergeCell ref="I2:J2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Sheet2 (2)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jackiezheng</cp:lastModifiedBy>
  <dcterms:created xsi:type="dcterms:W3CDTF">2025-03-24T23:39:00Z</dcterms:created>
  <dcterms:modified xsi:type="dcterms:W3CDTF">2025-11-07T20:51:40Z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D113C2D1A2BE14CF5CEB0D69654D9D4D_43</vt:lpwstr>
  </property>
  <property fmtid="{D5CDD505-2E9C-101B-9397-08002B2CF9AE}" pid="3" name="KSOProductBuildVer">
    <vt:lpwstr>2052-6.5.2.8766</vt:lpwstr>
  </property>
</Properties>
</file>